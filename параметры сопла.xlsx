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riya\Desktop\студенты\"/>
    </mc:Choice>
  </mc:AlternateContent>
  <xr:revisionPtr revIDLastSave="0" documentId="13_ncr:1_{F5F306D3-10A8-4F76-B661-78188EC1584F}" xr6:coauthVersionLast="45" xr6:coauthVersionMax="45" xr10:uidLastSave="{00000000-0000-0000-0000-000000000000}"/>
  <bookViews>
    <workbookView xWindow="5760" yWindow="3396" windowWidth="17280" windowHeight="8964" xr2:uid="{7D50B84E-CE0E-4A63-9990-D8091972299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2" i="1" l="1"/>
  <c r="B40" i="1"/>
  <c r="B53" i="1" l="1"/>
  <c r="B68" i="1" s="1"/>
  <c r="B91" i="1" l="1"/>
  <c r="B92" i="1" s="1"/>
  <c r="B93" i="1" s="1"/>
</calcChain>
</file>

<file path=xl/sharedStrings.xml><?xml version="1.0" encoding="utf-8"?>
<sst xmlns="http://schemas.openxmlformats.org/spreadsheetml/2006/main" count="36" uniqueCount="35">
  <si>
    <t>k</t>
  </si>
  <si>
    <t>P1</t>
  </si>
  <si>
    <t>h*0</t>
  </si>
  <si>
    <t>T0</t>
  </si>
  <si>
    <t>M1t</t>
  </si>
  <si>
    <t>μ</t>
  </si>
  <si>
    <t>G</t>
  </si>
  <si>
    <t>Мпа</t>
  </si>
  <si>
    <t>кДж/кг</t>
  </si>
  <si>
    <t>К</t>
  </si>
  <si>
    <t>кг/с</t>
  </si>
  <si>
    <t>Po*</t>
  </si>
  <si>
    <t>МПа</t>
  </si>
  <si>
    <t>cр</t>
  </si>
  <si>
    <t>R</t>
  </si>
  <si>
    <t>Дж/(кг*К)</t>
  </si>
  <si>
    <t>T0*</t>
  </si>
  <si>
    <t>С0</t>
  </si>
  <si>
    <t>м/с</t>
  </si>
  <si>
    <t>Smin</t>
  </si>
  <si>
    <t>dmin</t>
  </si>
  <si>
    <t>м^2</t>
  </si>
  <si>
    <t>м</t>
  </si>
  <si>
    <t>мм</t>
  </si>
  <si>
    <t>Исходные данные</t>
  </si>
  <si>
    <t>статическое давление на выходе</t>
  </si>
  <si>
    <t>энтальпия торможения на входе</t>
  </si>
  <si>
    <t>статическая температура на входе</t>
  </si>
  <si>
    <t>теоретическое число Маха на выходе</t>
  </si>
  <si>
    <t>коэффициент расхода</t>
  </si>
  <si>
    <t>действительный расход</t>
  </si>
  <si>
    <t>1. Расчет полного давления перед соплом</t>
  </si>
  <si>
    <t>2. Расчет температуры торможения на входе</t>
  </si>
  <si>
    <t>3. Расчёт скорости на входе</t>
  </si>
  <si>
    <t xml:space="preserve">4. Расчет минимального диаметра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</si>
</sst>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175260</xdr:rowOff>
    </xdr:from>
    <xdr:to>
      <xdr:col>11</xdr:col>
      <xdr:colOff>123957</xdr:colOff>
      <xdr:row>24</xdr:row>
      <xdr:rowOff>8334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AE36831-3765-4F32-B4C6-3EDCEE341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4060"/>
          <a:ext cx="6829557" cy="2393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152400</xdr:rowOff>
    </xdr:from>
    <xdr:to>
      <xdr:col>11</xdr:col>
      <xdr:colOff>345003</xdr:colOff>
      <xdr:row>37</xdr:row>
      <xdr:rowOff>145542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1A77403-C835-4F98-9B67-E95F30F21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8640"/>
          <a:ext cx="7050603" cy="25534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15240</xdr:rowOff>
    </xdr:from>
    <xdr:to>
      <xdr:col>10</xdr:col>
      <xdr:colOff>474400</xdr:colOff>
      <xdr:row>49</xdr:row>
      <xdr:rowOff>107089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0EF8A5B-E65F-4FA0-BBC1-F79BB0938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96200"/>
          <a:ext cx="6570400" cy="1372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76200</xdr:rowOff>
    </xdr:from>
    <xdr:to>
      <xdr:col>7</xdr:col>
      <xdr:colOff>527210</xdr:colOff>
      <xdr:row>66</xdr:row>
      <xdr:rowOff>61556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ADED455-E2E4-48FF-A6FE-001EE8C9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134600"/>
          <a:ext cx="4794410" cy="19970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68580</xdr:rowOff>
    </xdr:from>
    <xdr:to>
      <xdr:col>8</xdr:col>
      <xdr:colOff>428303</xdr:colOff>
      <xdr:row>88</xdr:row>
      <xdr:rowOff>54372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FA9E5CF-2DF0-4FB5-A5BE-DD81AB3BA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687300"/>
          <a:ext cx="5305103" cy="3460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5C54-9377-4E07-B6AC-9316F953905B}">
  <dimension ref="A1:D94"/>
  <sheetViews>
    <sheetView tabSelected="1" topLeftCell="A22" workbookViewId="0">
      <selection activeCell="A69" sqref="A69"/>
    </sheetView>
  </sheetViews>
  <sheetFormatPr defaultRowHeight="14.4" x14ac:dyDescent="0.3"/>
  <sheetData>
    <row r="1" spans="1:4" x14ac:dyDescent="0.3">
      <c r="A1" s="1" t="s">
        <v>24</v>
      </c>
    </row>
    <row r="2" spans="1:4" x14ac:dyDescent="0.3">
      <c r="A2" t="s">
        <v>14</v>
      </c>
      <c r="B2">
        <v>287</v>
      </c>
      <c r="C2" t="s">
        <v>15</v>
      </c>
    </row>
    <row r="3" spans="1:4" x14ac:dyDescent="0.3">
      <c r="A3" t="s">
        <v>0</v>
      </c>
      <c r="B3">
        <v>1.4</v>
      </c>
    </row>
    <row r="4" spans="1:4" x14ac:dyDescent="0.3">
      <c r="A4" t="s">
        <v>1</v>
      </c>
      <c r="B4">
        <v>0.2</v>
      </c>
      <c r="C4" t="s">
        <v>7</v>
      </c>
      <c r="D4" t="s">
        <v>25</v>
      </c>
    </row>
    <row r="5" spans="1:4" x14ac:dyDescent="0.3">
      <c r="A5" t="s">
        <v>2</v>
      </c>
      <c r="B5">
        <v>650</v>
      </c>
      <c r="C5" t="s">
        <v>8</v>
      </c>
      <c r="D5" t="s">
        <v>26</v>
      </c>
    </row>
    <row r="6" spans="1:4" x14ac:dyDescent="0.3">
      <c r="A6" t="s">
        <v>3</v>
      </c>
      <c r="B6">
        <v>550</v>
      </c>
      <c r="C6" t="s">
        <v>9</v>
      </c>
      <c r="D6" t="s">
        <v>27</v>
      </c>
    </row>
    <row r="7" spans="1:4" x14ac:dyDescent="0.3">
      <c r="A7" t="s">
        <v>4</v>
      </c>
      <c r="B7">
        <v>1</v>
      </c>
      <c r="D7" t="s">
        <v>28</v>
      </c>
    </row>
    <row r="8" spans="1:4" x14ac:dyDescent="0.3">
      <c r="A8" t="s">
        <v>5</v>
      </c>
      <c r="B8">
        <v>0.84</v>
      </c>
      <c r="D8" t="s">
        <v>29</v>
      </c>
    </row>
    <row r="9" spans="1:4" x14ac:dyDescent="0.3">
      <c r="A9" t="s">
        <v>6</v>
      </c>
      <c r="B9">
        <v>0.6</v>
      </c>
      <c r="C9" t="s">
        <v>10</v>
      </c>
      <c r="D9" t="s">
        <v>30</v>
      </c>
    </row>
    <row r="11" spans="1:4" x14ac:dyDescent="0.3">
      <c r="A11" s="1" t="s">
        <v>31</v>
      </c>
    </row>
    <row r="40" spans="1:3" x14ac:dyDescent="0.3">
      <c r="A40" s="1" t="s">
        <v>11</v>
      </c>
      <c r="B40" s="1">
        <f>(B4)/((2/(B3+1))^(B3/(B3-1)))</f>
        <v>0.37858583174757082</v>
      </c>
      <c r="C40" s="1" t="s">
        <v>12</v>
      </c>
    </row>
    <row r="42" spans="1:3" x14ac:dyDescent="0.3">
      <c r="A42" s="1" t="s">
        <v>32</v>
      </c>
    </row>
    <row r="52" spans="1:3" x14ac:dyDescent="0.3">
      <c r="A52" t="s">
        <v>13</v>
      </c>
      <c r="B52">
        <f>(B3*B2)/(B3-1)</f>
        <v>1004.5000000000001</v>
      </c>
    </row>
    <row r="53" spans="1:3" x14ac:dyDescent="0.3">
      <c r="A53" t="s">
        <v>16</v>
      </c>
      <c r="B53">
        <f>B5*1000/B52</f>
        <v>647.08810353409649</v>
      </c>
      <c r="C53" t="s">
        <v>9</v>
      </c>
    </row>
    <row r="55" spans="1:3" x14ac:dyDescent="0.3">
      <c r="A55" s="1" t="s">
        <v>33</v>
      </c>
    </row>
    <row r="68" spans="1:3" x14ac:dyDescent="0.3">
      <c r="A68" t="s">
        <v>17</v>
      </c>
      <c r="B68">
        <f>SQRT(2*B52*(B53-B6))</f>
        <v>441.64465353947156</v>
      </c>
      <c r="C68" t="s">
        <v>18</v>
      </c>
    </row>
    <row r="69" spans="1:3" x14ac:dyDescent="0.3">
      <c r="A69" s="1" t="s">
        <v>34</v>
      </c>
    </row>
    <row r="91" spans="1:3" x14ac:dyDescent="0.3">
      <c r="A91" s="1" t="s">
        <v>19</v>
      </c>
      <c r="B91" s="1">
        <f>B9/(B8*((B40*1000000)/SQRT(B53))*SQRT(B3/B2)*0.5787)</f>
        <v>1.1874429775065645E-3</v>
      </c>
      <c r="C91" s="1" t="s">
        <v>21</v>
      </c>
    </row>
    <row r="92" spans="1:3" x14ac:dyDescent="0.3">
      <c r="A92" s="1" t="s">
        <v>20</v>
      </c>
      <c r="B92" s="1">
        <f>SQRT((4*B91)/3.14)</f>
        <v>3.8893009826756253E-2</v>
      </c>
      <c r="C92" s="1" t="s">
        <v>22</v>
      </c>
    </row>
    <row r="93" spans="1:3" x14ac:dyDescent="0.3">
      <c r="A93" s="1"/>
      <c r="B93" s="1">
        <f>B92*1000</f>
        <v>38.893009826756256</v>
      </c>
      <c r="C93" s="1" t="s">
        <v>23</v>
      </c>
    </row>
    <row r="94" spans="1:3" x14ac:dyDescent="0.3">
      <c r="A94" s="1"/>
      <c r="B94" s="1"/>
      <c r="C94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Valeriya</dc:creator>
  <cp:lastModifiedBy>Valeriya</cp:lastModifiedBy>
  <dcterms:created xsi:type="dcterms:W3CDTF">2025-09-30T10:50:22Z</dcterms:created>
  <dcterms:modified xsi:type="dcterms:W3CDTF">2025-10-01T08:18:23Z</dcterms:modified>
</cp:coreProperties>
</file>